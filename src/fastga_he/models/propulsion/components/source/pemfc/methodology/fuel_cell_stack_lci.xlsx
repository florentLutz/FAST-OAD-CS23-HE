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fl.lutz\FAST\FAST-OAD\FAST-OAD-CS23-HE\src\fastga_he\models\propulsion\components\source\pemfc\methodology\"/>
    </mc:Choice>
  </mc:AlternateContent>
  <xr:revisionPtr revIDLastSave="0" documentId="13_ncr:1_{A5801AEF-6965-4D58-A85C-AE7D170F3C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9" i="1" l="1"/>
  <c r="J70" i="1"/>
  <c r="J71" i="1"/>
  <c r="J72" i="1"/>
  <c r="J73" i="1"/>
  <c r="J74" i="1"/>
  <c r="G74" i="1"/>
  <c r="G73" i="1"/>
  <c r="G72" i="1"/>
  <c r="G71" i="1"/>
  <c r="G70" i="1"/>
  <c r="G69" i="1"/>
  <c r="J65" i="1"/>
  <c r="J66" i="1"/>
  <c r="J67" i="1"/>
  <c r="J68" i="1"/>
  <c r="G68" i="1"/>
  <c r="G67" i="1"/>
  <c r="G66" i="1"/>
  <c r="G65" i="1"/>
  <c r="J64" i="1"/>
  <c r="G64" i="1"/>
  <c r="J63" i="1"/>
  <c r="G63" i="1"/>
  <c r="J62" i="1"/>
  <c r="G62" i="1"/>
  <c r="J61" i="1"/>
  <c r="G61" i="1"/>
  <c r="J60" i="1"/>
  <c r="G60" i="1"/>
  <c r="J59" i="1"/>
  <c r="G59" i="1"/>
  <c r="J58" i="1"/>
  <c r="G58" i="1"/>
  <c r="J57" i="1"/>
  <c r="G57" i="1"/>
  <c r="J56" i="1"/>
  <c r="G56" i="1"/>
  <c r="J55" i="1"/>
  <c r="G55" i="1"/>
  <c r="J54" i="1"/>
  <c r="G54" i="1"/>
  <c r="J53" i="1"/>
  <c r="G53" i="1"/>
  <c r="C9" i="1"/>
  <c r="G48" i="1"/>
  <c r="G47" i="1"/>
  <c r="G46" i="1"/>
  <c r="G45" i="1"/>
  <c r="G44" i="1"/>
  <c r="G43" i="1"/>
  <c r="G42" i="1"/>
  <c r="G37" i="1"/>
  <c r="G35" i="1"/>
  <c r="G34" i="1"/>
  <c r="G33" i="1"/>
  <c r="G32" i="1"/>
  <c r="G31" i="1"/>
  <c r="G29" i="1"/>
  <c r="G28" i="1"/>
  <c r="G26" i="1"/>
  <c r="G25" i="1"/>
  <c r="G24" i="1"/>
  <c r="G23" i="1"/>
  <c r="G20" i="1"/>
  <c r="G21" i="1"/>
  <c r="G19" i="1"/>
  <c r="G17" i="1"/>
  <c r="G16" i="1"/>
  <c r="G15" i="1"/>
  <c r="G14" i="1"/>
</calcChain>
</file>

<file path=xl/sharedStrings.xml><?xml version="1.0" encoding="utf-8"?>
<sst xmlns="http://schemas.openxmlformats.org/spreadsheetml/2006/main" count="310" uniqueCount="90">
  <si>
    <t xml:space="preserve">Based on the results from : </t>
  </si>
  <si>
    <t>Evon, Rahnuma B., et al. "Life cycle assessment of hydrogen-powered fuel cell system for regional aviation-Methodology development and preliminary results." International Journal of Hydrogen Energy 202 (2026): 152527.</t>
  </si>
  <si>
    <t>Cell mass</t>
  </si>
  <si>
    <t>72g</t>
  </si>
  <si>
    <t>Source</t>
  </si>
  <si>
    <t>Fig 5.</t>
  </si>
  <si>
    <t>Cell BoM</t>
  </si>
  <si>
    <t>Component</t>
  </si>
  <si>
    <t>Qty</t>
  </si>
  <si>
    <t>Associated ecoinvent process</t>
  </si>
  <si>
    <t>Gas Diffusion Layer</t>
  </si>
  <si>
    <t>TFE</t>
  </si>
  <si>
    <t>market for tetrafluoroethylene</t>
  </si>
  <si>
    <t>Acrylonitrile</t>
  </si>
  <si>
    <t>market for acrylonitrile</t>
  </si>
  <si>
    <t>Carbon Black</t>
  </si>
  <si>
    <t>market for carbon black</t>
  </si>
  <si>
    <t>Thermoforming of plastic sheets</t>
  </si>
  <si>
    <t>Material/processes</t>
  </si>
  <si>
    <t>Market for thermoforming of plastic sheets</t>
  </si>
  <si>
    <t>Bipolar plate</t>
  </si>
  <si>
    <t>Chromium steel</t>
  </si>
  <si>
    <t>Reference flow</t>
  </si>
  <si>
    <t>Unit</t>
  </si>
  <si>
    <t>g</t>
  </si>
  <si>
    <t>Hard chromium coat, electroplating</t>
  </si>
  <si>
    <t>market for hard chromium coat, electroplating, steel substrate, 0.14 mm thickness</t>
  </si>
  <si>
    <t>market for steel, chromium steel 18/8</t>
  </si>
  <si>
    <t>Supplementary materials, Table 6</t>
  </si>
  <si>
    <t>Supplementary materials, Table 7</t>
  </si>
  <si>
    <t>Deep drawing steel, 650 kW press, single stroke</t>
  </si>
  <si>
    <t>market for deep drawing, steel, 650 kW press, single stroke</t>
  </si>
  <si>
    <t>cm²</t>
  </si>
  <si>
    <t>Location</t>
  </si>
  <si>
    <t>GLO</t>
  </si>
  <si>
    <t>Key unmentionned assumptions:
- 1 cell = 1 membrane</t>
  </si>
  <si>
    <t>Membrane</t>
  </si>
  <si>
    <t>Supplementary materials, Table 8</t>
  </si>
  <si>
    <t>Sulfuric acid</t>
  </si>
  <si>
    <t>market for sulfuric acid</t>
  </si>
  <si>
    <t>RER</t>
  </si>
  <si>
    <t>Titanium dioxide</t>
  </si>
  <si>
    <t>market for titanium dioxide</t>
  </si>
  <si>
    <t>Extrusion, plastic film</t>
  </si>
  <si>
    <t>market for extrusion, plastic film</t>
  </si>
  <si>
    <t>Catalyst</t>
  </si>
  <si>
    <t>Platinum</t>
  </si>
  <si>
    <t>market for platinum</t>
  </si>
  <si>
    <t>Supplementary materials, Table 9</t>
  </si>
  <si>
    <t>Catalysed membrane</t>
  </si>
  <si>
    <t>Water deionised</t>
  </si>
  <si>
    <t>market for water, deionised</t>
  </si>
  <si>
    <t>RoW</t>
  </si>
  <si>
    <t>Supplementary materials, Table 10 &amp; 11</t>
  </si>
  <si>
    <t>1-propanol</t>
  </si>
  <si>
    <t>market for 1-propanol</t>
  </si>
  <si>
    <t>Polyethylene</t>
  </si>
  <si>
    <t>market for polyethylene, low density, granulate</t>
  </si>
  <si>
    <t>Methanol</t>
  </si>
  <si>
    <t>market for methanol</t>
  </si>
  <si>
    <t>Supplementary materials, Table 10</t>
  </si>
  <si>
    <t>Gaskets</t>
  </si>
  <si>
    <t>Silicone product</t>
  </si>
  <si>
    <t>market for silicone product</t>
  </si>
  <si>
    <t>Supplementary materials, Table 12</t>
  </si>
  <si>
    <t>Collector BoM</t>
  </si>
  <si>
    <t>Endplates and collector</t>
  </si>
  <si>
    <t>Aluminium</t>
  </si>
  <si>
    <t>market for aluminium, primary, ingot</t>
  </si>
  <si>
    <t>Supplementary materials, Table 13</t>
  </si>
  <si>
    <t>Nylon 6-6</t>
  </si>
  <si>
    <t>Copper</t>
  </si>
  <si>
    <t>Nickel</t>
  </si>
  <si>
    <t>Gold</t>
  </si>
  <si>
    <t>Injection moulding</t>
  </si>
  <si>
    <t>market for nylon 6-6</t>
  </si>
  <si>
    <t>market for gold</t>
  </si>
  <si>
    <t>market for injection moulding</t>
  </si>
  <si>
    <t>market for copper, cathode</t>
  </si>
  <si>
    <t>market for nickel, class 1</t>
  </si>
  <si>
    <t>Stack BoM</t>
  </si>
  <si>
    <t>Unit reference flow</t>
  </si>
  <si>
    <t>Collector mass</t>
  </si>
  <si>
    <t>Stack mass</t>
  </si>
  <si>
    <t>9,14kg</t>
  </si>
  <si>
    <t>Table 1.</t>
  </si>
  <si>
    <t>Stack = 408 cells + 1 collector and endplates</t>
  </si>
  <si>
    <t>g/kg</t>
  </si>
  <si>
    <t>cm²/kg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</si>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</sst>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74"/>
  <sheetViews>
    <sheetView tabSelected="1" topLeftCell="A57" workbookViewId="0">
      <selection activeCell="K66" sqref="K66"/>
    </sheetView>
  </sheetViews>
  <sheetFormatPr baseColWidth="10" defaultColWidth="9.140625" defaultRowHeight="15" x14ac:dyDescent="0.25"/>
  <cols>
    <col min="2" max="2" width="24.85546875" bestFit="1" customWidth="1"/>
    <col min="3" max="3" width="35.7109375" customWidth="1"/>
    <col min="4" max="4" width="40.7109375" customWidth="1"/>
    <col min="5" max="5" width="13.7109375" customWidth="1"/>
    <col min="6" max="6" width="9.5703125" customWidth="1"/>
    <col min="7" max="7" width="14.5703125" bestFit="1" customWidth="1"/>
    <col min="8" max="8" width="8.140625" customWidth="1"/>
    <col min="9" max="9" width="38.28515625" customWidth="1"/>
    <col min="10" max="17" width="20.7109375" customWidth="1"/>
  </cols>
  <sheetData>
    <row r="2" spans="2:12" x14ac:dyDescent="0.25">
      <c r="B2" s="9" t="s">
        <v>0</v>
      </c>
      <c r="C2" s="8" t="s">
        <v>1</v>
      </c>
      <c r="D2" s="8"/>
      <c r="E2" s="8"/>
      <c r="F2" s="8"/>
      <c r="G2" s="8"/>
      <c r="H2" s="8"/>
      <c r="I2" s="8"/>
      <c r="K2" s="8" t="s">
        <v>35</v>
      </c>
      <c r="L2" s="10"/>
    </row>
    <row r="3" spans="2:12" x14ac:dyDescent="0.25">
      <c r="B3" s="9"/>
      <c r="C3" s="8"/>
      <c r="D3" s="8"/>
      <c r="E3" s="8"/>
      <c r="F3" s="8"/>
      <c r="G3" s="8"/>
      <c r="H3" s="8"/>
      <c r="I3" s="8"/>
      <c r="K3" s="10"/>
      <c r="L3" s="10"/>
    </row>
    <row r="6" spans="2:12" x14ac:dyDescent="0.25">
      <c r="D6" t="s">
        <v>4</v>
      </c>
    </row>
    <row r="7" spans="2:12" x14ac:dyDescent="0.25">
      <c r="B7" t="s">
        <v>2</v>
      </c>
      <c r="C7" t="s">
        <v>3</v>
      </c>
      <c r="D7" t="s">
        <v>5</v>
      </c>
    </row>
    <row r="8" spans="2:12" x14ac:dyDescent="0.25">
      <c r="B8" t="s">
        <v>82</v>
      </c>
      <c r="C8" t="s">
        <v>84</v>
      </c>
      <c r="D8" t="s">
        <v>85</v>
      </c>
    </row>
    <row r="9" spans="2:12" x14ac:dyDescent="0.25">
      <c r="B9" t="s">
        <v>83</v>
      </c>
      <c r="C9">
        <f>408*0.072+9.14</f>
        <v>38.515999999999998</v>
      </c>
      <c r="D9" t="s">
        <v>86</v>
      </c>
    </row>
    <row r="11" spans="2:12" x14ac:dyDescent="0.25">
      <c r="B11" s="7" t="s">
        <v>6</v>
      </c>
      <c r="C11" s="7"/>
      <c r="D11" s="7"/>
      <c r="E11" s="7"/>
      <c r="F11" s="7"/>
      <c r="G11" s="7"/>
      <c r="H11" s="7"/>
      <c r="I11" s="7"/>
    </row>
    <row r="13" spans="2:12" x14ac:dyDescent="0.25">
      <c r="B13" s="4" t="s">
        <v>7</v>
      </c>
      <c r="C13" s="3" t="s">
        <v>18</v>
      </c>
      <c r="D13" s="4" t="s">
        <v>9</v>
      </c>
      <c r="E13" s="4" t="s">
        <v>33</v>
      </c>
      <c r="F13" s="3" t="s">
        <v>8</v>
      </c>
      <c r="G13" s="3" t="s">
        <v>22</v>
      </c>
      <c r="H13" s="3" t="s">
        <v>23</v>
      </c>
      <c r="I13" s="3" t="s">
        <v>4</v>
      </c>
    </row>
    <row r="14" spans="2:12" x14ac:dyDescent="0.25">
      <c r="B14" t="s">
        <v>10</v>
      </c>
      <c r="C14" s="5" t="s">
        <v>11</v>
      </c>
      <c r="D14" s="5" t="s">
        <v>12</v>
      </c>
      <c r="E14" s="2" t="s">
        <v>34</v>
      </c>
      <c r="F14">
        <v>2</v>
      </c>
      <c r="G14">
        <f>2*0.54</f>
        <v>1.08</v>
      </c>
      <c r="H14" t="s">
        <v>24</v>
      </c>
      <c r="I14" t="s">
        <v>28</v>
      </c>
    </row>
    <row r="15" spans="2:12" x14ac:dyDescent="0.25">
      <c r="B15" t="s">
        <v>10</v>
      </c>
      <c r="C15" s="5" t="s">
        <v>13</v>
      </c>
      <c r="D15" s="5" t="s">
        <v>14</v>
      </c>
      <c r="E15" s="2" t="s">
        <v>34</v>
      </c>
      <c r="F15">
        <v>2</v>
      </c>
      <c r="G15">
        <f>2*3.08</f>
        <v>6.16</v>
      </c>
      <c r="H15" t="s">
        <v>24</v>
      </c>
      <c r="I15" t="s">
        <v>28</v>
      </c>
    </row>
    <row r="16" spans="2:12" x14ac:dyDescent="0.25">
      <c r="B16" t="s">
        <v>10</v>
      </c>
      <c r="C16" s="5" t="s">
        <v>15</v>
      </c>
      <c r="D16" s="5" t="s">
        <v>16</v>
      </c>
      <c r="E16" s="2" t="s">
        <v>34</v>
      </c>
      <c r="F16">
        <v>2</v>
      </c>
      <c r="G16">
        <f>2*0.18</f>
        <v>0.36</v>
      </c>
      <c r="H16" t="s">
        <v>24</v>
      </c>
      <c r="I16" t="s">
        <v>28</v>
      </c>
    </row>
    <row r="17" spans="2:9" x14ac:dyDescent="0.25">
      <c r="B17" t="s">
        <v>10</v>
      </c>
      <c r="C17" s="5" t="s">
        <v>17</v>
      </c>
      <c r="D17" s="5" t="s">
        <v>19</v>
      </c>
      <c r="E17" s="2" t="s">
        <v>34</v>
      </c>
      <c r="F17">
        <v>2</v>
      </c>
      <c r="G17">
        <f>2*3.45</f>
        <v>6.9</v>
      </c>
      <c r="H17" t="s">
        <v>24</v>
      </c>
      <c r="I17" t="s">
        <v>28</v>
      </c>
    </row>
    <row r="18" spans="2:9" x14ac:dyDescent="0.25">
      <c r="C18" s="2"/>
      <c r="D18" s="2"/>
      <c r="E18" s="2"/>
    </row>
    <row r="19" spans="2:9" x14ac:dyDescent="0.25">
      <c r="B19" t="s">
        <v>20</v>
      </c>
      <c r="C19" s="5" t="s">
        <v>21</v>
      </c>
      <c r="D19" s="5" t="s">
        <v>27</v>
      </c>
      <c r="E19" s="2" t="s">
        <v>34</v>
      </c>
      <c r="F19">
        <v>1</v>
      </c>
      <c r="G19">
        <f>53*1</f>
        <v>53</v>
      </c>
      <c r="H19" t="s">
        <v>24</v>
      </c>
      <c r="I19" t="s">
        <v>29</v>
      </c>
    </row>
    <row r="20" spans="2:9" ht="45" x14ac:dyDescent="0.25">
      <c r="B20" t="s">
        <v>20</v>
      </c>
      <c r="C20" s="5" t="s">
        <v>25</v>
      </c>
      <c r="D20" s="5" t="s">
        <v>26</v>
      </c>
      <c r="E20" s="2" t="s">
        <v>34</v>
      </c>
      <c r="F20">
        <v>1</v>
      </c>
      <c r="G20">
        <f>346.9*1</f>
        <v>346.9</v>
      </c>
      <c r="H20" t="s">
        <v>32</v>
      </c>
      <c r="I20" t="s">
        <v>29</v>
      </c>
    </row>
    <row r="21" spans="2:9" ht="30" x14ac:dyDescent="0.25">
      <c r="B21" t="s">
        <v>20</v>
      </c>
      <c r="C21" s="5" t="s">
        <v>30</v>
      </c>
      <c r="D21" s="5" t="s">
        <v>31</v>
      </c>
      <c r="E21" s="2" t="s">
        <v>34</v>
      </c>
      <c r="F21">
        <v>1</v>
      </c>
      <c r="G21">
        <f>53*1</f>
        <v>53</v>
      </c>
      <c r="H21" t="s">
        <v>24</v>
      </c>
      <c r="I21" t="s">
        <v>29</v>
      </c>
    </row>
    <row r="23" spans="2:9" x14ac:dyDescent="0.25">
      <c r="B23" t="s">
        <v>36</v>
      </c>
      <c r="C23" s="5" t="s">
        <v>11</v>
      </c>
      <c r="D23" s="5" t="s">
        <v>12</v>
      </c>
      <c r="E23" s="2" t="s">
        <v>34</v>
      </c>
      <c r="F23">
        <v>1</v>
      </c>
      <c r="G23">
        <f>1*0.9</f>
        <v>0.9</v>
      </c>
      <c r="H23" s="2" t="s">
        <v>24</v>
      </c>
      <c r="I23" s="2" t="s">
        <v>37</v>
      </c>
    </row>
    <row r="24" spans="2:9" x14ac:dyDescent="0.25">
      <c r="B24" t="s">
        <v>36</v>
      </c>
      <c r="C24" s="5" t="s">
        <v>38</v>
      </c>
      <c r="D24" s="5" t="s">
        <v>39</v>
      </c>
      <c r="E24" s="2" t="s">
        <v>40</v>
      </c>
      <c r="F24">
        <v>1</v>
      </c>
      <c r="G24">
        <f>0.67*1</f>
        <v>0.67</v>
      </c>
      <c r="H24" s="2" t="s">
        <v>24</v>
      </c>
      <c r="I24" s="2" t="s">
        <v>37</v>
      </c>
    </row>
    <row r="25" spans="2:9" x14ac:dyDescent="0.25">
      <c r="B25" t="s">
        <v>36</v>
      </c>
      <c r="C25" s="5" t="s">
        <v>41</v>
      </c>
      <c r="D25" s="5" t="s">
        <v>42</v>
      </c>
      <c r="E25" s="2" t="s">
        <v>40</v>
      </c>
      <c r="F25">
        <v>1</v>
      </c>
      <c r="G25">
        <f>1*0.16</f>
        <v>0.16</v>
      </c>
      <c r="H25" s="2" t="s">
        <v>24</v>
      </c>
      <c r="I25" s="2" t="s">
        <v>37</v>
      </c>
    </row>
    <row r="26" spans="2:9" x14ac:dyDescent="0.25">
      <c r="B26" t="s">
        <v>36</v>
      </c>
      <c r="C26" s="5" t="s">
        <v>43</v>
      </c>
      <c r="D26" s="5" t="s">
        <v>44</v>
      </c>
      <c r="E26" s="2" t="s">
        <v>34</v>
      </c>
      <c r="F26">
        <v>1</v>
      </c>
      <c r="G26">
        <f>1*1.74</f>
        <v>1.74</v>
      </c>
      <c r="H26" s="2" t="s">
        <v>24</v>
      </c>
      <c r="I26" s="2" t="s">
        <v>37</v>
      </c>
    </row>
    <row r="28" spans="2:9" x14ac:dyDescent="0.25">
      <c r="B28" t="s">
        <v>45</v>
      </c>
      <c r="C28" s="5" t="s">
        <v>46</v>
      </c>
      <c r="D28" s="5" t="s">
        <v>47</v>
      </c>
      <c r="E28" s="2" t="s">
        <v>34</v>
      </c>
      <c r="F28">
        <v>1</v>
      </c>
      <c r="G28">
        <f>1*0.0000547</f>
        <v>5.4700000000000001E-5</v>
      </c>
      <c r="H28" s="2" t="s">
        <v>24</v>
      </c>
      <c r="I28" s="2" t="s">
        <v>48</v>
      </c>
    </row>
    <row r="29" spans="2:9" x14ac:dyDescent="0.25">
      <c r="B29" t="s">
        <v>45</v>
      </c>
      <c r="C29" s="5" t="s">
        <v>15</v>
      </c>
      <c r="D29" s="5" t="s">
        <v>16</v>
      </c>
      <c r="E29" s="2" t="s">
        <v>34</v>
      </c>
      <c r="F29">
        <v>1</v>
      </c>
      <c r="G29">
        <f>1*0.0000821</f>
        <v>8.2100000000000003E-5</v>
      </c>
      <c r="H29" s="2" t="s">
        <v>24</v>
      </c>
      <c r="I29" s="2" t="s">
        <v>48</v>
      </c>
    </row>
    <row r="31" spans="2:9" x14ac:dyDescent="0.25">
      <c r="B31" t="s">
        <v>49</v>
      </c>
      <c r="C31" s="5" t="s">
        <v>50</v>
      </c>
      <c r="D31" s="5" t="s">
        <v>51</v>
      </c>
      <c r="E31" s="2" t="s">
        <v>52</v>
      </c>
      <c r="F31">
        <v>1</v>
      </c>
      <c r="G31">
        <f>0.15+1.65*0.74</f>
        <v>1.3709999999999998</v>
      </c>
      <c r="H31" s="2" t="s">
        <v>24</v>
      </c>
      <c r="I31" s="2" t="s">
        <v>53</v>
      </c>
    </row>
    <row r="32" spans="2:9" x14ac:dyDescent="0.25">
      <c r="B32" t="s">
        <v>49</v>
      </c>
      <c r="C32" s="5" t="s">
        <v>54</v>
      </c>
      <c r="D32" s="5" t="s">
        <v>55</v>
      </c>
      <c r="E32" s="2" t="s">
        <v>34</v>
      </c>
      <c r="F32">
        <v>1</v>
      </c>
      <c r="G32">
        <f>1.65*0.82</f>
        <v>1.3529999999999998</v>
      </c>
      <c r="H32" s="2" t="s">
        <v>24</v>
      </c>
      <c r="I32" s="2" t="s">
        <v>53</v>
      </c>
    </row>
    <row r="33" spans="2:9" ht="30" x14ac:dyDescent="0.25">
      <c r="B33" t="s">
        <v>49</v>
      </c>
      <c r="C33" s="5" t="s">
        <v>56</v>
      </c>
      <c r="D33" s="5" t="s">
        <v>57</v>
      </c>
      <c r="E33" s="2" t="s">
        <v>34</v>
      </c>
      <c r="F33">
        <v>1</v>
      </c>
      <c r="G33">
        <f>1.65*0.082</f>
        <v>0.1353</v>
      </c>
      <c r="H33" s="2" t="s">
        <v>24</v>
      </c>
      <c r="I33" s="2" t="s">
        <v>53</v>
      </c>
    </row>
    <row r="34" spans="2:9" x14ac:dyDescent="0.25">
      <c r="B34" t="s">
        <v>49</v>
      </c>
      <c r="C34" s="5" t="s">
        <v>58</v>
      </c>
      <c r="D34" s="5" t="s">
        <v>59</v>
      </c>
      <c r="E34" s="2" t="s">
        <v>34</v>
      </c>
      <c r="F34">
        <v>1</v>
      </c>
      <c r="G34">
        <f>1*0.15</f>
        <v>0.15</v>
      </c>
      <c r="H34" s="2" t="s">
        <v>24</v>
      </c>
      <c r="I34" s="2" t="s">
        <v>60</v>
      </c>
    </row>
    <row r="35" spans="2:9" x14ac:dyDescent="0.25">
      <c r="B35" t="s">
        <v>49</v>
      </c>
      <c r="C35" s="5" t="s">
        <v>15</v>
      </c>
      <c r="D35" s="5" t="s">
        <v>16</v>
      </c>
      <c r="E35" s="2" t="s">
        <v>34</v>
      </c>
      <c r="F35">
        <v>1</v>
      </c>
      <c r="G35">
        <f>1*0.2</f>
        <v>0.2</v>
      </c>
      <c r="H35" s="2" t="s">
        <v>24</v>
      </c>
      <c r="I35" s="2" t="s">
        <v>60</v>
      </c>
    </row>
    <row r="37" spans="2:9" x14ac:dyDescent="0.25">
      <c r="B37" t="s">
        <v>61</v>
      </c>
      <c r="C37" s="2" t="s">
        <v>62</v>
      </c>
      <c r="D37" s="2" t="s">
        <v>63</v>
      </c>
      <c r="E37" s="2" t="s">
        <v>40</v>
      </c>
      <c r="F37">
        <v>2</v>
      </c>
      <c r="G37">
        <f>2*3.59</f>
        <v>7.18</v>
      </c>
      <c r="H37" s="2" t="s">
        <v>24</v>
      </c>
      <c r="I37" s="2" t="s">
        <v>64</v>
      </c>
    </row>
    <row r="39" spans="2:9" x14ac:dyDescent="0.25">
      <c r="B39" s="7" t="s">
        <v>65</v>
      </c>
      <c r="C39" s="7"/>
      <c r="D39" s="7"/>
      <c r="E39" s="7"/>
      <c r="F39" s="7"/>
      <c r="G39" s="7"/>
      <c r="H39" s="7"/>
      <c r="I39" s="7"/>
    </row>
    <row r="40" spans="2:9" x14ac:dyDescent="0.25">
      <c r="B40" s="1"/>
      <c r="C40" s="1"/>
      <c r="D40" s="1"/>
      <c r="E40" s="1"/>
      <c r="F40" s="1"/>
      <c r="G40" s="1"/>
      <c r="H40" s="1"/>
      <c r="I40" s="1"/>
    </row>
    <row r="41" spans="2:9" x14ac:dyDescent="0.25">
      <c r="B41" s="4" t="s">
        <v>7</v>
      </c>
      <c r="C41" s="3" t="s">
        <v>18</v>
      </c>
      <c r="D41" s="4" t="s">
        <v>9</v>
      </c>
      <c r="E41" s="4" t="s">
        <v>33</v>
      </c>
      <c r="F41" s="3" t="s">
        <v>8</v>
      </c>
      <c r="G41" s="3" t="s">
        <v>22</v>
      </c>
      <c r="H41" s="3" t="s">
        <v>23</v>
      </c>
      <c r="I41" s="3" t="s">
        <v>4</v>
      </c>
    </row>
    <row r="42" spans="2:9" x14ac:dyDescent="0.25">
      <c r="B42" t="s">
        <v>66</v>
      </c>
      <c r="C42" t="s">
        <v>67</v>
      </c>
      <c r="D42" t="s">
        <v>68</v>
      </c>
      <c r="E42" t="s">
        <v>34</v>
      </c>
      <c r="F42">
        <v>1</v>
      </c>
      <c r="G42">
        <f>1*4.57*1000</f>
        <v>4570</v>
      </c>
      <c r="H42" t="s">
        <v>24</v>
      </c>
      <c r="I42" t="s">
        <v>69</v>
      </c>
    </row>
    <row r="43" spans="2:9" x14ac:dyDescent="0.25">
      <c r="B43" t="s">
        <v>66</v>
      </c>
      <c r="C43" t="s">
        <v>70</v>
      </c>
      <c r="D43" t="s">
        <v>75</v>
      </c>
      <c r="E43" t="s">
        <v>40</v>
      </c>
      <c r="F43">
        <v>1</v>
      </c>
      <c r="G43">
        <f>1*0.32*1000</f>
        <v>320</v>
      </c>
      <c r="H43" t="s">
        <v>24</v>
      </c>
      <c r="I43" t="s">
        <v>69</v>
      </c>
    </row>
    <row r="44" spans="2:9" x14ac:dyDescent="0.25">
      <c r="B44" t="s">
        <v>66</v>
      </c>
      <c r="C44" s="6" t="s">
        <v>21</v>
      </c>
      <c r="D44" s="5" t="s">
        <v>27</v>
      </c>
      <c r="E44" t="s">
        <v>34</v>
      </c>
      <c r="F44">
        <v>1</v>
      </c>
      <c r="G44">
        <f>1*3.1*1000</f>
        <v>3100</v>
      </c>
      <c r="H44" t="s">
        <v>24</v>
      </c>
      <c r="I44" t="s">
        <v>69</v>
      </c>
    </row>
    <row r="45" spans="2:9" x14ac:dyDescent="0.25">
      <c r="B45" t="s">
        <v>66</v>
      </c>
      <c r="C45" t="s">
        <v>71</v>
      </c>
      <c r="D45" t="s">
        <v>78</v>
      </c>
      <c r="E45" t="s">
        <v>34</v>
      </c>
      <c r="F45">
        <v>1</v>
      </c>
      <c r="G45">
        <f>1*1.18*1000</f>
        <v>1180</v>
      </c>
      <c r="H45" t="s">
        <v>24</v>
      </c>
      <c r="I45" t="s">
        <v>69</v>
      </c>
    </row>
    <row r="46" spans="2:9" x14ac:dyDescent="0.25">
      <c r="B46" t="s">
        <v>66</v>
      </c>
      <c r="C46" t="s">
        <v>72</v>
      </c>
      <c r="D46" t="s">
        <v>79</v>
      </c>
      <c r="E46" t="s">
        <v>34</v>
      </c>
      <c r="F46">
        <v>1</v>
      </c>
      <c r="G46">
        <f>1*0.02*1000</f>
        <v>20</v>
      </c>
      <c r="H46" t="s">
        <v>24</v>
      </c>
      <c r="I46" t="s">
        <v>69</v>
      </c>
    </row>
    <row r="47" spans="2:9" x14ac:dyDescent="0.25">
      <c r="B47" t="s">
        <v>66</v>
      </c>
      <c r="C47" t="s">
        <v>73</v>
      </c>
      <c r="D47" t="s">
        <v>76</v>
      </c>
      <c r="E47" t="s">
        <v>34</v>
      </c>
      <c r="F47">
        <v>1</v>
      </c>
      <c r="G47">
        <f>0.002*1*1000</f>
        <v>2</v>
      </c>
      <c r="H47" t="s">
        <v>24</v>
      </c>
      <c r="I47" t="s">
        <v>69</v>
      </c>
    </row>
    <row r="48" spans="2:9" x14ac:dyDescent="0.25">
      <c r="B48" t="s">
        <v>66</v>
      </c>
      <c r="C48" t="s">
        <v>74</v>
      </c>
      <c r="D48" t="s">
        <v>77</v>
      </c>
      <c r="E48" t="s">
        <v>34</v>
      </c>
      <c r="F48">
        <v>1</v>
      </c>
      <c r="G48">
        <f>4.57*1000*1</f>
        <v>4570</v>
      </c>
      <c r="H48" t="s">
        <v>24</v>
      </c>
      <c r="I48" t="s">
        <v>69</v>
      </c>
    </row>
    <row r="51" spans="2:11" x14ac:dyDescent="0.25">
      <c r="B51" s="7" t="s">
        <v>80</v>
      </c>
      <c r="C51" s="7"/>
      <c r="D51" s="7"/>
      <c r="E51" s="7"/>
      <c r="F51" s="7"/>
      <c r="G51" s="7"/>
      <c r="H51" s="7"/>
      <c r="I51" s="7"/>
    </row>
    <row r="52" spans="2:11" x14ac:dyDescent="0.25">
      <c r="B52" s="4" t="s">
        <v>7</v>
      </c>
      <c r="C52" s="3" t="s">
        <v>18</v>
      </c>
      <c r="D52" s="4" t="s">
        <v>9</v>
      </c>
      <c r="E52" s="4" t="s">
        <v>33</v>
      </c>
      <c r="F52" s="3" t="s">
        <v>8</v>
      </c>
      <c r="G52" s="3" t="s">
        <v>22</v>
      </c>
      <c r="H52" s="3" t="s">
        <v>23</v>
      </c>
      <c r="I52" s="3" t="s">
        <v>4</v>
      </c>
      <c r="J52" s="3" t="s">
        <v>81</v>
      </c>
      <c r="K52" s="3" t="s">
        <v>23</v>
      </c>
    </row>
    <row r="53" spans="2:11" x14ac:dyDescent="0.25">
      <c r="B53" t="s">
        <v>89</v>
      </c>
      <c r="C53" s="2" t="s">
        <v>11</v>
      </c>
      <c r="D53" s="2" t="s">
        <v>12</v>
      </c>
      <c r="E53" s="2" t="s">
        <v>34</v>
      </c>
      <c r="G53">
        <f>408*G14+408*G23</f>
        <v>807.84</v>
      </c>
      <c r="H53" s="2" t="s">
        <v>24</v>
      </c>
      <c r="J53">
        <f t="shared" ref="J53:J62" si="0">ROUND(G53/$C$9,2)</f>
        <v>20.97</v>
      </c>
      <c r="K53" t="s">
        <v>87</v>
      </c>
    </row>
    <row r="54" spans="2:11" x14ac:dyDescent="0.25">
      <c r="B54" t="s">
        <v>89</v>
      </c>
      <c r="C54" s="2" t="s">
        <v>13</v>
      </c>
      <c r="D54" s="2" t="s">
        <v>14</v>
      </c>
      <c r="E54" t="s">
        <v>34</v>
      </c>
      <c r="G54">
        <f>408*G15</f>
        <v>2513.2800000000002</v>
      </c>
      <c r="H54" t="s">
        <v>24</v>
      </c>
      <c r="J54">
        <f t="shared" si="0"/>
        <v>65.25</v>
      </c>
      <c r="K54" t="s">
        <v>87</v>
      </c>
    </row>
    <row r="55" spans="2:11" x14ac:dyDescent="0.25">
      <c r="B55" t="s">
        <v>89</v>
      </c>
      <c r="C55" s="2" t="s">
        <v>15</v>
      </c>
      <c r="D55" s="2" t="s">
        <v>16</v>
      </c>
      <c r="E55" t="s">
        <v>34</v>
      </c>
      <c r="G55">
        <f>408*G16+408*G29+408*G35</f>
        <v>228.51349679999998</v>
      </c>
      <c r="H55" t="s">
        <v>24</v>
      </c>
      <c r="J55">
        <f t="shared" si="0"/>
        <v>5.93</v>
      </c>
      <c r="K55" t="s">
        <v>87</v>
      </c>
    </row>
    <row r="56" spans="2:11" x14ac:dyDescent="0.25">
      <c r="C56" s="2" t="s">
        <v>17</v>
      </c>
      <c r="D56" s="2" t="s">
        <v>19</v>
      </c>
      <c r="E56" t="s">
        <v>34</v>
      </c>
      <c r="G56">
        <f>408*G17</f>
        <v>2815.2000000000003</v>
      </c>
      <c r="H56" t="s">
        <v>24</v>
      </c>
      <c r="J56">
        <f t="shared" si="0"/>
        <v>73.09</v>
      </c>
      <c r="K56" t="s">
        <v>87</v>
      </c>
    </row>
    <row r="57" spans="2:11" x14ac:dyDescent="0.25">
      <c r="C57" s="2" t="s">
        <v>21</v>
      </c>
      <c r="D57" s="2" t="s">
        <v>27</v>
      </c>
      <c r="E57" t="s">
        <v>34</v>
      </c>
      <c r="G57">
        <f>G19*408+G44</f>
        <v>24724</v>
      </c>
      <c r="H57" t="s">
        <v>24</v>
      </c>
      <c r="J57">
        <f t="shared" si="0"/>
        <v>641.91999999999996</v>
      </c>
      <c r="K57" t="s">
        <v>87</v>
      </c>
    </row>
    <row r="58" spans="2:11" ht="45" x14ac:dyDescent="0.25">
      <c r="C58" s="2" t="s">
        <v>25</v>
      </c>
      <c r="D58" s="2" t="s">
        <v>26</v>
      </c>
      <c r="E58" t="s">
        <v>34</v>
      </c>
      <c r="G58">
        <f>G20*408</f>
        <v>141535.19999999998</v>
      </c>
      <c r="H58" t="s">
        <v>32</v>
      </c>
      <c r="J58">
        <f t="shared" si="0"/>
        <v>3674.71</v>
      </c>
      <c r="K58" t="s">
        <v>88</v>
      </c>
    </row>
    <row r="59" spans="2:11" ht="30" x14ac:dyDescent="0.25">
      <c r="C59" s="2" t="s">
        <v>30</v>
      </c>
      <c r="D59" s="2" t="s">
        <v>31</v>
      </c>
      <c r="E59" t="s">
        <v>34</v>
      </c>
      <c r="G59">
        <f>G21*408</f>
        <v>21624</v>
      </c>
      <c r="H59" t="s">
        <v>24</v>
      </c>
      <c r="J59">
        <f t="shared" si="0"/>
        <v>561.42999999999995</v>
      </c>
      <c r="K59" t="s">
        <v>87</v>
      </c>
    </row>
    <row r="60" spans="2:11" x14ac:dyDescent="0.25">
      <c r="C60" s="2" t="s">
        <v>38</v>
      </c>
      <c r="D60" s="2" t="s">
        <v>39</v>
      </c>
      <c r="E60" t="s">
        <v>40</v>
      </c>
      <c r="G60">
        <f>G24*408</f>
        <v>273.36</v>
      </c>
      <c r="H60" t="s">
        <v>24</v>
      </c>
      <c r="J60">
        <f t="shared" si="0"/>
        <v>7.1</v>
      </c>
      <c r="K60" t="s">
        <v>87</v>
      </c>
    </row>
    <row r="61" spans="2:11" x14ac:dyDescent="0.25">
      <c r="C61" s="2" t="s">
        <v>41</v>
      </c>
      <c r="D61" s="2" t="s">
        <v>42</v>
      </c>
      <c r="E61" t="s">
        <v>40</v>
      </c>
      <c r="G61">
        <f>G25*408</f>
        <v>65.28</v>
      </c>
      <c r="H61" t="s">
        <v>24</v>
      </c>
      <c r="J61">
        <f t="shared" si="0"/>
        <v>1.69</v>
      </c>
      <c r="K61" t="s">
        <v>87</v>
      </c>
    </row>
    <row r="62" spans="2:11" x14ac:dyDescent="0.25">
      <c r="C62" s="2" t="s">
        <v>43</v>
      </c>
      <c r="D62" s="2" t="s">
        <v>44</v>
      </c>
      <c r="E62" t="s">
        <v>34</v>
      </c>
      <c r="G62">
        <f>G26*408</f>
        <v>709.92</v>
      </c>
      <c r="H62" t="s">
        <v>24</v>
      </c>
      <c r="J62">
        <f t="shared" si="0"/>
        <v>18.43</v>
      </c>
      <c r="K62" t="s">
        <v>87</v>
      </c>
    </row>
    <row r="63" spans="2:11" x14ac:dyDescent="0.25">
      <c r="C63" s="2" t="s">
        <v>46</v>
      </c>
      <c r="D63" s="2" t="s">
        <v>47</v>
      </c>
      <c r="E63" t="s">
        <v>34</v>
      </c>
      <c r="G63">
        <f>G28*408</f>
        <v>2.23176E-2</v>
      </c>
      <c r="H63" t="s">
        <v>24</v>
      </c>
      <c r="J63">
        <f>ROUND(G63/$C$9,4)</f>
        <v>5.9999999999999995E-4</v>
      </c>
      <c r="K63" t="s">
        <v>87</v>
      </c>
    </row>
    <row r="64" spans="2:11" x14ac:dyDescent="0.25">
      <c r="C64" s="2" t="s">
        <v>50</v>
      </c>
      <c r="D64" s="2" t="s">
        <v>51</v>
      </c>
      <c r="E64" t="s">
        <v>52</v>
      </c>
      <c r="G64">
        <f>G31*408</f>
        <v>559.36799999999994</v>
      </c>
      <c r="H64" t="s">
        <v>24</v>
      </c>
      <c r="J64">
        <f>ROUND(G64/$C$9,2)</f>
        <v>14.52</v>
      </c>
      <c r="K64" t="s">
        <v>87</v>
      </c>
    </row>
    <row r="65" spans="3:11" x14ac:dyDescent="0.25">
      <c r="C65" s="2" t="s">
        <v>54</v>
      </c>
      <c r="D65" s="2" t="s">
        <v>55</v>
      </c>
      <c r="E65" t="s">
        <v>34</v>
      </c>
      <c r="G65">
        <f>G32*408</f>
        <v>552.02399999999989</v>
      </c>
      <c r="H65" t="s">
        <v>24</v>
      </c>
      <c r="J65">
        <f t="shared" ref="J65:J74" si="1">ROUND(G65/$C$9,2)</f>
        <v>14.33</v>
      </c>
      <c r="K65" t="s">
        <v>87</v>
      </c>
    </row>
    <row r="66" spans="3:11" ht="30" x14ac:dyDescent="0.25">
      <c r="C66" s="2" t="s">
        <v>56</v>
      </c>
      <c r="D66" s="2" t="s">
        <v>57</v>
      </c>
      <c r="E66" t="s">
        <v>34</v>
      </c>
      <c r="G66">
        <f>G33*408</f>
        <v>55.202400000000004</v>
      </c>
      <c r="H66" t="s">
        <v>24</v>
      </c>
      <c r="J66">
        <f t="shared" si="1"/>
        <v>1.43</v>
      </c>
      <c r="K66" t="s">
        <v>87</v>
      </c>
    </row>
    <row r="67" spans="3:11" x14ac:dyDescent="0.25">
      <c r="C67" s="2" t="s">
        <v>58</v>
      </c>
      <c r="D67" s="2" t="s">
        <v>59</v>
      </c>
      <c r="E67" t="s">
        <v>34</v>
      </c>
      <c r="G67">
        <f>G34*408</f>
        <v>61.199999999999996</v>
      </c>
      <c r="H67" t="s">
        <v>24</v>
      </c>
      <c r="J67">
        <f t="shared" si="1"/>
        <v>1.59</v>
      </c>
      <c r="K67" t="s">
        <v>87</v>
      </c>
    </row>
    <row r="68" spans="3:11" x14ac:dyDescent="0.25">
      <c r="C68" s="2" t="s">
        <v>62</v>
      </c>
      <c r="D68" s="2" t="s">
        <v>63</v>
      </c>
      <c r="E68" t="s">
        <v>34</v>
      </c>
      <c r="G68">
        <f>G37*408</f>
        <v>2929.44</v>
      </c>
      <c r="H68" t="s">
        <v>24</v>
      </c>
      <c r="J68">
        <f t="shared" si="1"/>
        <v>76.06</v>
      </c>
      <c r="K68" t="s">
        <v>87</v>
      </c>
    </row>
    <row r="69" spans="3:11" x14ac:dyDescent="0.25">
      <c r="C69" t="s">
        <v>67</v>
      </c>
      <c r="D69" t="s">
        <v>68</v>
      </c>
      <c r="E69" t="s">
        <v>34</v>
      </c>
      <c r="G69">
        <f>1*4.57*1000</f>
        <v>4570</v>
      </c>
      <c r="H69" t="s">
        <v>24</v>
      </c>
      <c r="J69">
        <f t="shared" si="1"/>
        <v>118.65</v>
      </c>
      <c r="K69" t="s">
        <v>87</v>
      </c>
    </row>
    <row r="70" spans="3:11" x14ac:dyDescent="0.25">
      <c r="C70" t="s">
        <v>70</v>
      </c>
      <c r="D70" t="s">
        <v>75</v>
      </c>
      <c r="E70" t="s">
        <v>40</v>
      </c>
      <c r="G70">
        <f>1*0.32*1000</f>
        <v>320</v>
      </c>
      <c r="H70" t="s">
        <v>24</v>
      </c>
      <c r="J70">
        <f t="shared" si="1"/>
        <v>8.31</v>
      </c>
      <c r="K70" t="s">
        <v>87</v>
      </c>
    </row>
    <row r="71" spans="3:11" x14ac:dyDescent="0.25">
      <c r="C71" t="s">
        <v>71</v>
      </c>
      <c r="D71" t="s">
        <v>78</v>
      </c>
      <c r="E71" t="s">
        <v>34</v>
      </c>
      <c r="G71">
        <f>1*1.18*1000</f>
        <v>1180</v>
      </c>
      <c r="H71" t="s">
        <v>24</v>
      </c>
      <c r="J71">
        <f t="shared" si="1"/>
        <v>30.64</v>
      </c>
      <c r="K71" t="s">
        <v>87</v>
      </c>
    </row>
    <row r="72" spans="3:11" x14ac:dyDescent="0.25">
      <c r="C72" t="s">
        <v>72</v>
      </c>
      <c r="D72" t="s">
        <v>79</v>
      </c>
      <c r="E72" t="s">
        <v>34</v>
      </c>
      <c r="G72">
        <f>1*0.02*1000</f>
        <v>20</v>
      </c>
      <c r="H72" t="s">
        <v>24</v>
      </c>
      <c r="J72">
        <f t="shared" si="1"/>
        <v>0.52</v>
      </c>
      <c r="K72" t="s">
        <v>87</v>
      </c>
    </row>
    <row r="73" spans="3:11" x14ac:dyDescent="0.25">
      <c r="C73" t="s">
        <v>73</v>
      </c>
      <c r="D73" t="s">
        <v>76</v>
      </c>
      <c r="E73" t="s">
        <v>34</v>
      </c>
      <c r="G73">
        <f>0.002*1*1000</f>
        <v>2</v>
      </c>
      <c r="H73" t="s">
        <v>24</v>
      </c>
      <c r="J73">
        <f t="shared" si="1"/>
        <v>0.05</v>
      </c>
      <c r="K73" t="s">
        <v>87</v>
      </c>
    </row>
    <row r="74" spans="3:11" x14ac:dyDescent="0.25">
      <c r="C74" t="s">
        <v>74</v>
      </c>
      <c r="D74" t="s">
        <v>77</v>
      </c>
      <c r="E74" t="s">
        <v>34</v>
      </c>
      <c r="G74">
        <f>4.57*1000*1</f>
        <v>4570</v>
      </c>
      <c r="H74" t="s">
        <v>24</v>
      </c>
      <c r="J74">
        <f t="shared" si="1"/>
        <v>118.65</v>
      </c>
      <c r="K74" t="s">
        <v>87</v>
      </c>
    </row>
  </sheetData>
  <mergeCells count="6">
    <mergeCell ref="B51:I51"/>
    <mergeCell ref="C2:I3"/>
    <mergeCell ref="B2:B3"/>
    <mergeCell ref="B11:I11"/>
    <mergeCell ref="K2:L3"/>
    <mergeCell ref="B39:I3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Florent LUTZ</dc:creator>
  <cp:lastModifiedBy>Florent LUTZ</cp:lastModifiedBy>
  <dcterms:created xsi:type="dcterms:W3CDTF">2015-06-05T18:19:34Z</dcterms:created>
  <dcterms:modified xsi:type="dcterms:W3CDTF">2026-07-20T12:44:59Z</dcterms:modified>
</cp:coreProperties>
</file>