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fl.lutz\FAST\FAST-OAD\FAST-OAD-CS23-HE\src\fastga_he\models\propulsion\components\source\pemfc_with_bop\methodology\"/>
    </mc:Choice>
  </mc:AlternateContent>
  <xr:revisionPtr revIDLastSave="0" documentId="13_ncr:1_{DA294811-0F07-47A3-B75D-F5A5C08D52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7" i="1" l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43" i="1"/>
  <c r="G51" i="1"/>
  <c r="G50" i="1"/>
  <c r="G46" i="1"/>
  <c r="G45" i="1"/>
  <c r="G44" i="1"/>
  <c r="G43" i="1"/>
  <c r="G20" i="1"/>
  <c r="G19" i="1"/>
  <c r="G18" i="1"/>
  <c r="G17" i="1"/>
  <c r="C11" i="1"/>
  <c r="C12" i="1" s="1"/>
</calcChain>
</file>

<file path=xl/sharedStrings.xml><?xml version="1.0" encoding="utf-8"?>
<sst xmlns="http://schemas.openxmlformats.org/spreadsheetml/2006/main" count="232" uniqueCount="68">
  <si>
    <t xml:space="preserve">Based on the results from : </t>
  </si>
  <si>
    <t>Evon, Rahnuma B., et al. "Life cycle assessment of hydrogen-powered fuel cell system for regional aviation-Methodology development and preliminary results." International Journal of Hydrogen Energy 202 (2026): 152527.</t>
  </si>
  <si>
    <t>Source</t>
  </si>
  <si>
    <t>Cell BoM</t>
  </si>
  <si>
    <t>Component</t>
  </si>
  <si>
    <t>Qty</t>
  </si>
  <si>
    <t>Associated ecoinvent process</t>
  </si>
  <si>
    <t>Material/processes</t>
  </si>
  <si>
    <t>Reference flow</t>
  </si>
  <si>
    <t>Unit</t>
  </si>
  <si>
    <t>Location</t>
  </si>
  <si>
    <t>GLO</t>
  </si>
  <si>
    <t>RER</t>
  </si>
  <si>
    <t>Aluminium</t>
  </si>
  <si>
    <t>market for aluminium, primary, ingot</t>
  </si>
  <si>
    <t>Injection moulding</t>
  </si>
  <si>
    <t>market for injection moulding</t>
  </si>
  <si>
    <t>Unit reference flow</t>
  </si>
  <si>
    <t>g/kg</t>
  </si>
  <si>
    <t>X</t>
  </si>
  <si>
    <t>HEX FC mass</t>
  </si>
  <si>
    <t>HEX air mass</t>
  </si>
  <si>
    <t>Cooling pump mass</t>
  </si>
  <si>
    <t>Compressor mass</t>
  </si>
  <si>
    <t>Humidifier mass</t>
  </si>
  <si>
    <t>TMS mass</t>
  </si>
  <si>
    <t>Supplementary materials, Table 14</t>
  </si>
  <si>
    <t>Key unmentionned assumptions:
- Tank and tank system (labeled fuel management) are already computed separately
- Table 1 specifies some masses per FCS but there is only one FCS. So the weight will be taken as is</t>
  </si>
  <si>
    <t>Table 1</t>
  </si>
  <si>
    <t>Water Management/Humidifier</t>
  </si>
  <si>
    <t>market for polyphenylene sulfide</t>
  </si>
  <si>
    <t>kg</t>
  </si>
  <si>
    <t>Supplementary materials, Table 19</t>
  </si>
  <si>
    <t>market for glass fibre</t>
  </si>
  <si>
    <t>Polyurethane, flexible foam</t>
  </si>
  <si>
    <t>market for polyurethane, flexible foam</t>
  </si>
  <si>
    <t>Air Management/Compressor</t>
  </si>
  <si>
    <t>Polyphenylene sulfide</t>
  </si>
  <si>
    <t>Glass fibre</t>
  </si>
  <si>
    <t>Titanium</t>
  </si>
  <si>
    <t>market for titanium</t>
  </si>
  <si>
    <t>Supplementary materials, Table 21</t>
  </si>
  <si>
    <t>Iron-Nickel-Chromium alloy</t>
  </si>
  <si>
    <t>market for iron-nickel-chromium alloy</t>
  </si>
  <si>
    <t>Forging, steel</t>
  </si>
  <si>
    <t>market for forging, steel</t>
  </si>
  <si>
    <t>TMS/HEX FC</t>
  </si>
  <si>
    <t>Supplementary materials, Table 23</t>
  </si>
  <si>
    <t>Welding, arc, aluminium</t>
  </si>
  <si>
    <t>market for welding, arc, aluminium</t>
  </si>
  <si>
    <t>TMS/HEX air</t>
  </si>
  <si>
    <t>Supplementary materials, Table 24</t>
  </si>
  <si>
    <t>Cooling pump</t>
  </si>
  <si>
    <t>Supplementary materials, Table 25</t>
  </si>
  <si>
    <t>Cast Iron</t>
  </si>
  <si>
    <t>market for cast iron</t>
  </si>
  <si>
    <t>Polyvinylchloride, emulsion polymerised</t>
  </si>
  <si>
    <t>market for polyvinylchloride, emulsion polymerised</t>
  </si>
  <si>
    <t>Polyvinylchloride, suspension polymerised</t>
  </si>
  <si>
    <t>market for polyvinylchloride, suspension polymerised</t>
  </si>
  <si>
    <t>Steel, Chromium, steel 18/8</t>
  </si>
  <si>
    <t>market for steel, chromium, steel 18/8</t>
  </si>
  <si>
    <t>Synthetic rubber</t>
  </si>
  <si>
    <t>market for synthetic rubber</t>
  </si>
  <si>
    <t>Hot water tank factory</t>
  </si>
  <si>
    <t>hot water tank factory construction</t>
  </si>
  <si>
    <t>CH</t>
  </si>
  <si>
    <t>BoP 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</si>
</sst>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applyFill="1"/>
    <xf numFmtId="0" fontId="0" fillId="0" borderId="0" xfId="0" applyFill="1" applyAlignment="1">
      <alignment wrapText="1"/>
    </xf>
    <xf numFmtId="11" fontId="0" fillId="0" borderId="0" xfId="0" applyNumberFormat="1"/>
    <xf numFmtId="1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58"/>
  <sheetViews>
    <sheetView tabSelected="1" topLeftCell="A38" workbookViewId="0">
      <selection activeCell="H53" sqref="H53"/>
    </sheetView>
  </sheetViews>
  <sheetFormatPr baseColWidth="10" defaultColWidth="9.140625" defaultRowHeight="15" x14ac:dyDescent="0.25"/>
  <cols>
    <col min="2" max="2" width="29.42578125" bestFit="1" customWidth="1"/>
    <col min="3" max="3" width="35.7109375" customWidth="1"/>
    <col min="4" max="4" width="40.7109375" customWidth="1"/>
    <col min="5" max="5" width="13.7109375" customWidth="1"/>
    <col min="6" max="6" width="9.5703125" customWidth="1"/>
    <col min="7" max="7" width="14.5703125" bestFit="1" customWidth="1"/>
    <col min="8" max="8" width="8.140625" customWidth="1"/>
    <col min="9" max="9" width="38.28515625" customWidth="1"/>
    <col min="10" max="17" width="20.7109375" customWidth="1"/>
  </cols>
  <sheetData>
    <row r="2" spans="2:12" x14ac:dyDescent="0.25">
      <c r="B2" s="7" t="s">
        <v>0</v>
      </c>
      <c r="C2" s="6" t="s">
        <v>1</v>
      </c>
      <c r="D2" s="6"/>
      <c r="E2" s="6"/>
      <c r="F2" s="6"/>
      <c r="G2" s="6"/>
      <c r="H2" s="6"/>
      <c r="I2" s="6"/>
      <c r="K2" s="6" t="s">
        <v>27</v>
      </c>
      <c r="L2" s="8"/>
    </row>
    <row r="3" spans="2:12" x14ac:dyDescent="0.25">
      <c r="B3" s="7"/>
      <c r="C3" s="6"/>
      <c r="D3" s="6"/>
      <c r="E3" s="6"/>
      <c r="F3" s="6"/>
      <c r="G3" s="6"/>
      <c r="H3" s="6"/>
      <c r="I3" s="6"/>
      <c r="K3" s="8"/>
      <c r="L3" s="8"/>
    </row>
    <row r="6" spans="2:12" x14ac:dyDescent="0.25">
      <c r="D6" t="s">
        <v>2</v>
      </c>
    </row>
    <row r="7" spans="2:12" x14ac:dyDescent="0.25">
      <c r="B7" t="s">
        <v>20</v>
      </c>
      <c r="C7">
        <v>39.770000000000003</v>
      </c>
      <c r="D7" t="s">
        <v>28</v>
      </c>
    </row>
    <row r="8" spans="2:12" x14ac:dyDescent="0.25">
      <c r="B8" t="s">
        <v>21</v>
      </c>
      <c r="C8">
        <v>8.58</v>
      </c>
      <c r="D8" t="s">
        <v>28</v>
      </c>
    </row>
    <row r="9" spans="2:12" x14ac:dyDescent="0.25">
      <c r="B9" t="s">
        <v>22</v>
      </c>
      <c r="C9">
        <v>3.36</v>
      </c>
      <c r="D9" t="s">
        <v>28</v>
      </c>
    </row>
    <row r="10" spans="2:12" x14ac:dyDescent="0.25">
      <c r="B10" t="s">
        <v>23</v>
      </c>
      <c r="C10">
        <v>152.11000000000001</v>
      </c>
      <c r="D10" t="s">
        <v>28</v>
      </c>
    </row>
    <row r="11" spans="2:12" x14ac:dyDescent="0.25">
      <c r="B11" t="s">
        <v>24</v>
      </c>
      <c r="C11">
        <f>7*4.09</f>
        <v>28.63</v>
      </c>
      <c r="D11" t="s">
        <v>28</v>
      </c>
    </row>
    <row r="12" spans="2:12" x14ac:dyDescent="0.25">
      <c r="B12" t="s">
        <v>25</v>
      </c>
      <c r="C12">
        <f>SUM(C7:C11)</f>
        <v>232.45000000000002</v>
      </c>
      <c r="D12" t="s">
        <v>26</v>
      </c>
    </row>
    <row r="14" spans="2:12" x14ac:dyDescent="0.25">
      <c r="B14" s="5" t="s">
        <v>3</v>
      </c>
      <c r="C14" s="5"/>
      <c r="D14" s="5"/>
      <c r="E14" s="5"/>
      <c r="F14" s="5"/>
      <c r="G14" s="5"/>
      <c r="H14" s="5"/>
      <c r="I14" s="5"/>
    </row>
    <row r="16" spans="2:12" x14ac:dyDescent="0.25">
      <c r="B16" s="3" t="s">
        <v>4</v>
      </c>
      <c r="C16" s="2" t="s">
        <v>7</v>
      </c>
      <c r="D16" s="3" t="s">
        <v>6</v>
      </c>
      <c r="E16" s="3" t="s">
        <v>10</v>
      </c>
      <c r="F16" s="2" t="s">
        <v>5</v>
      </c>
      <c r="G16" s="2" t="s">
        <v>8</v>
      </c>
      <c r="H16" s="2" t="s">
        <v>9</v>
      </c>
      <c r="I16" s="2" t="s">
        <v>2</v>
      </c>
    </row>
    <row r="17" spans="2:9" x14ac:dyDescent="0.25">
      <c r="B17" t="s">
        <v>29</v>
      </c>
      <c r="C17" s="4" t="s">
        <v>37</v>
      </c>
      <c r="D17" s="4" t="s">
        <v>30</v>
      </c>
      <c r="E17" s="1" t="s">
        <v>11</v>
      </c>
      <c r="F17">
        <v>7</v>
      </c>
      <c r="G17">
        <f>1.96*7</f>
        <v>13.719999999999999</v>
      </c>
      <c r="H17" t="s">
        <v>31</v>
      </c>
      <c r="I17" t="s">
        <v>32</v>
      </c>
    </row>
    <row r="18" spans="2:9" x14ac:dyDescent="0.25">
      <c r="B18" t="s">
        <v>29</v>
      </c>
      <c r="C18" s="4" t="s">
        <v>38</v>
      </c>
      <c r="D18" s="4" t="s">
        <v>33</v>
      </c>
      <c r="E18" s="1" t="s">
        <v>11</v>
      </c>
      <c r="F18">
        <v>7</v>
      </c>
      <c r="G18">
        <f>7*1.3</f>
        <v>9.1</v>
      </c>
      <c r="H18" s="1" t="s">
        <v>31</v>
      </c>
      <c r="I18" s="1" t="s">
        <v>32</v>
      </c>
    </row>
    <row r="19" spans="2:9" x14ac:dyDescent="0.25">
      <c r="B19" t="s">
        <v>29</v>
      </c>
      <c r="C19" s="4" t="s">
        <v>15</v>
      </c>
      <c r="D19" s="4" t="s">
        <v>16</v>
      </c>
      <c r="E19" s="1" t="s">
        <v>11</v>
      </c>
      <c r="F19">
        <v>7</v>
      </c>
      <c r="G19">
        <f>7*3.27</f>
        <v>22.89</v>
      </c>
      <c r="H19" s="1" t="s">
        <v>31</v>
      </c>
      <c r="I19" s="1" t="s">
        <v>32</v>
      </c>
    </row>
    <row r="20" spans="2:9" x14ac:dyDescent="0.25">
      <c r="B20" t="s">
        <v>29</v>
      </c>
      <c r="C20" s="4" t="s">
        <v>34</v>
      </c>
      <c r="D20" s="4" t="s">
        <v>35</v>
      </c>
      <c r="E20" s="1" t="s">
        <v>12</v>
      </c>
      <c r="F20">
        <v>7</v>
      </c>
      <c r="G20">
        <f>7*0.82</f>
        <v>5.7399999999999993</v>
      </c>
      <c r="H20" s="1" t="s">
        <v>31</v>
      </c>
      <c r="I20" s="1" t="s">
        <v>32</v>
      </c>
    </row>
    <row r="21" spans="2:9" x14ac:dyDescent="0.25">
      <c r="C21" s="10"/>
      <c r="D21" s="10"/>
      <c r="E21" s="1"/>
    </row>
    <row r="22" spans="2:9" x14ac:dyDescent="0.25">
      <c r="B22" t="s">
        <v>36</v>
      </c>
      <c r="C22" s="4" t="s">
        <v>39</v>
      </c>
      <c r="D22" s="4" t="s">
        <v>40</v>
      </c>
      <c r="E22" s="1" t="s">
        <v>11</v>
      </c>
      <c r="F22">
        <v>1</v>
      </c>
      <c r="G22">
        <v>76.05</v>
      </c>
      <c r="H22" t="s">
        <v>31</v>
      </c>
      <c r="I22" t="s">
        <v>41</v>
      </c>
    </row>
    <row r="23" spans="2:9" x14ac:dyDescent="0.25">
      <c r="B23" t="s">
        <v>36</v>
      </c>
      <c r="C23" s="4" t="s">
        <v>42</v>
      </c>
      <c r="D23" s="4" t="s">
        <v>43</v>
      </c>
      <c r="E23" s="1" t="s">
        <v>11</v>
      </c>
      <c r="F23">
        <v>1</v>
      </c>
      <c r="G23">
        <v>76.05</v>
      </c>
      <c r="H23" s="1" t="s">
        <v>31</v>
      </c>
      <c r="I23" t="s">
        <v>41</v>
      </c>
    </row>
    <row r="24" spans="2:9" x14ac:dyDescent="0.25">
      <c r="B24" t="s">
        <v>36</v>
      </c>
      <c r="C24" s="4" t="s">
        <v>44</v>
      </c>
      <c r="D24" s="4" t="s">
        <v>45</v>
      </c>
      <c r="E24" s="1" t="s">
        <v>11</v>
      </c>
      <c r="F24">
        <v>1</v>
      </c>
      <c r="G24">
        <v>152.11000000000001</v>
      </c>
      <c r="H24" s="1" t="s">
        <v>31</v>
      </c>
      <c r="I24" t="s">
        <v>41</v>
      </c>
    </row>
    <row r="25" spans="2:9" x14ac:dyDescent="0.25">
      <c r="C25" s="9"/>
      <c r="D25" s="9"/>
    </row>
    <row r="26" spans="2:9" x14ac:dyDescent="0.25">
      <c r="B26" t="s">
        <v>46</v>
      </c>
      <c r="C26" s="4" t="s">
        <v>13</v>
      </c>
      <c r="D26" s="4" t="s">
        <v>14</v>
      </c>
      <c r="E26" s="1" t="s">
        <v>11</v>
      </c>
      <c r="F26">
        <v>1</v>
      </c>
      <c r="G26">
        <v>39.770000000000003</v>
      </c>
      <c r="H26" s="1" t="s">
        <v>31</v>
      </c>
      <c r="I26" s="1" t="s">
        <v>47</v>
      </c>
    </row>
    <row r="27" spans="2:9" x14ac:dyDescent="0.25">
      <c r="B27" t="s">
        <v>46</v>
      </c>
      <c r="C27" s="4" t="s">
        <v>48</v>
      </c>
      <c r="D27" s="4" t="s">
        <v>49</v>
      </c>
      <c r="E27" s="1" t="s">
        <v>11</v>
      </c>
      <c r="F27">
        <v>1</v>
      </c>
      <c r="G27">
        <v>39.770000000000003</v>
      </c>
      <c r="H27" s="1" t="s">
        <v>31</v>
      </c>
      <c r="I27" s="1" t="s">
        <v>47</v>
      </c>
    </row>
    <row r="28" spans="2:9" x14ac:dyDescent="0.25">
      <c r="C28" s="10"/>
      <c r="D28" s="10"/>
      <c r="E28" s="1"/>
      <c r="H28" s="1"/>
      <c r="I28" s="1"/>
    </row>
    <row r="29" spans="2:9" x14ac:dyDescent="0.25">
      <c r="B29" t="s">
        <v>50</v>
      </c>
      <c r="C29" s="4" t="s">
        <v>13</v>
      </c>
      <c r="D29" s="4" t="s">
        <v>14</v>
      </c>
      <c r="E29" s="1" t="s">
        <v>11</v>
      </c>
      <c r="F29">
        <v>1</v>
      </c>
      <c r="G29">
        <v>8.58</v>
      </c>
      <c r="H29" s="1" t="s">
        <v>31</v>
      </c>
      <c r="I29" s="1" t="s">
        <v>51</v>
      </c>
    </row>
    <row r="30" spans="2:9" x14ac:dyDescent="0.25">
      <c r="B30" t="s">
        <v>50</v>
      </c>
      <c r="C30" s="4" t="s">
        <v>48</v>
      </c>
      <c r="D30" s="4" t="s">
        <v>49</v>
      </c>
      <c r="E30" s="1" t="s">
        <v>11</v>
      </c>
      <c r="F30">
        <v>1</v>
      </c>
      <c r="G30">
        <v>8.58</v>
      </c>
      <c r="H30" s="1" t="s">
        <v>31</v>
      </c>
      <c r="I30" s="1" t="s">
        <v>51</v>
      </c>
    </row>
    <row r="31" spans="2:9" x14ac:dyDescent="0.25">
      <c r="C31" s="9"/>
      <c r="D31" s="9"/>
    </row>
    <row r="32" spans="2:9" x14ac:dyDescent="0.25">
      <c r="B32" t="s">
        <v>52</v>
      </c>
      <c r="C32" s="4" t="s">
        <v>13</v>
      </c>
      <c r="D32" s="4" t="s">
        <v>14</v>
      </c>
      <c r="E32" s="1" t="s">
        <v>11</v>
      </c>
      <c r="F32">
        <v>1</v>
      </c>
      <c r="G32">
        <v>2.7E-2</v>
      </c>
      <c r="H32" s="1" t="s">
        <v>31</v>
      </c>
      <c r="I32" s="1" t="s">
        <v>53</v>
      </c>
    </row>
    <row r="33" spans="2:11" x14ac:dyDescent="0.25">
      <c r="B33" t="s">
        <v>52</v>
      </c>
      <c r="C33" s="4" t="s">
        <v>54</v>
      </c>
      <c r="D33" s="4" t="s">
        <v>55</v>
      </c>
      <c r="E33" s="1" t="s">
        <v>11</v>
      </c>
      <c r="F33">
        <v>1</v>
      </c>
      <c r="G33">
        <v>1.66</v>
      </c>
      <c r="H33" s="1" t="s">
        <v>31</v>
      </c>
      <c r="I33" s="1" t="s">
        <v>53</v>
      </c>
    </row>
    <row r="34" spans="2:11" ht="30" x14ac:dyDescent="0.25">
      <c r="B34" t="s">
        <v>52</v>
      </c>
      <c r="C34" s="4" t="s">
        <v>56</v>
      </c>
      <c r="D34" s="4" t="s">
        <v>57</v>
      </c>
      <c r="E34" s="1" t="s">
        <v>11</v>
      </c>
      <c r="F34">
        <v>1</v>
      </c>
      <c r="G34">
        <v>5.0000000000000001E-3</v>
      </c>
      <c r="H34" s="1" t="s">
        <v>31</v>
      </c>
      <c r="I34" s="1" t="s">
        <v>53</v>
      </c>
    </row>
    <row r="35" spans="2:11" ht="30" x14ac:dyDescent="0.25">
      <c r="B35" t="s">
        <v>52</v>
      </c>
      <c r="C35" s="4" t="s">
        <v>58</v>
      </c>
      <c r="D35" s="4" t="s">
        <v>59</v>
      </c>
      <c r="E35" s="1" t="s">
        <v>11</v>
      </c>
      <c r="F35">
        <v>1</v>
      </c>
      <c r="G35">
        <v>3.5999999999999997E-2</v>
      </c>
      <c r="H35" s="1" t="s">
        <v>31</v>
      </c>
      <c r="I35" s="1" t="s">
        <v>53</v>
      </c>
    </row>
    <row r="36" spans="2:11" x14ac:dyDescent="0.25">
      <c r="B36" t="s">
        <v>52</v>
      </c>
      <c r="C36" s="4" t="s">
        <v>60</v>
      </c>
      <c r="D36" s="4" t="s">
        <v>61</v>
      </c>
      <c r="E36" s="1" t="s">
        <v>11</v>
      </c>
      <c r="F36">
        <v>1</v>
      </c>
      <c r="G36">
        <v>1.27</v>
      </c>
      <c r="H36" s="1" t="s">
        <v>31</v>
      </c>
      <c r="I36" s="1" t="s">
        <v>53</v>
      </c>
    </row>
    <row r="37" spans="2:11" x14ac:dyDescent="0.25">
      <c r="B37" t="s">
        <v>52</v>
      </c>
      <c r="C37" s="4" t="s">
        <v>62</v>
      </c>
      <c r="D37" s="4" t="s">
        <v>63</v>
      </c>
      <c r="E37" s="1" t="s">
        <v>11</v>
      </c>
      <c r="F37">
        <v>1</v>
      </c>
      <c r="G37">
        <v>8.9999999999999993E-3</v>
      </c>
      <c r="H37" s="1" t="s">
        <v>31</v>
      </c>
      <c r="I37" s="1" t="s">
        <v>53</v>
      </c>
    </row>
    <row r="38" spans="2:11" x14ac:dyDescent="0.25">
      <c r="B38" t="s">
        <v>52</v>
      </c>
      <c r="C38" s="4" t="s">
        <v>64</v>
      </c>
      <c r="D38" s="4" t="s">
        <v>65</v>
      </c>
      <c r="E38" s="1" t="s">
        <v>66</v>
      </c>
      <c r="F38">
        <v>1</v>
      </c>
      <c r="G38" s="12">
        <v>2.7000000000000001E-7</v>
      </c>
      <c r="H38" s="1" t="s">
        <v>31</v>
      </c>
      <c r="I38" s="1" t="s">
        <v>53</v>
      </c>
    </row>
    <row r="41" spans="2:11" x14ac:dyDescent="0.25">
      <c r="B41" s="5" t="s">
        <v>67</v>
      </c>
      <c r="C41" s="5"/>
      <c r="D41" s="5"/>
      <c r="E41" s="5"/>
      <c r="F41" s="5"/>
      <c r="G41" s="5"/>
      <c r="H41" s="5"/>
      <c r="I41" s="5"/>
    </row>
    <row r="42" spans="2:11" x14ac:dyDescent="0.25">
      <c r="B42" s="3" t="s">
        <v>4</v>
      </c>
      <c r="C42" s="2" t="s">
        <v>7</v>
      </c>
      <c r="D42" s="3" t="s">
        <v>6</v>
      </c>
      <c r="E42" s="3" t="s">
        <v>10</v>
      </c>
      <c r="F42" s="2" t="s">
        <v>5</v>
      </c>
      <c r="G42" s="2" t="s">
        <v>8</v>
      </c>
      <c r="H42" s="2" t="s">
        <v>9</v>
      </c>
      <c r="I42" s="2" t="s">
        <v>2</v>
      </c>
      <c r="J42" s="2" t="s">
        <v>17</v>
      </c>
      <c r="K42" s="2" t="s">
        <v>9</v>
      </c>
    </row>
    <row r="43" spans="2:11" x14ac:dyDescent="0.25">
      <c r="B43" t="s">
        <v>19</v>
      </c>
      <c r="C43" s="10" t="s">
        <v>37</v>
      </c>
      <c r="D43" s="10" t="s">
        <v>30</v>
      </c>
      <c r="E43" s="1" t="s">
        <v>11</v>
      </c>
      <c r="G43">
        <f>1.96*7</f>
        <v>13.719999999999999</v>
      </c>
      <c r="H43" s="1" t="s">
        <v>31</v>
      </c>
      <c r="J43">
        <f>ROUND(G43/$C$12*1000,2)</f>
        <v>59.02</v>
      </c>
      <c r="K43" t="s">
        <v>18</v>
      </c>
    </row>
    <row r="44" spans="2:11" x14ac:dyDescent="0.25">
      <c r="B44" t="s">
        <v>19</v>
      </c>
      <c r="C44" s="10" t="s">
        <v>38</v>
      </c>
      <c r="D44" s="10" t="s">
        <v>33</v>
      </c>
      <c r="E44" s="1" t="s">
        <v>11</v>
      </c>
      <c r="G44">
        <f>7*1.3</f>
        <v>9.1</v>
      </c>
      <c r="H44" s="1" t="s">
        <v>31</v>
      </c>
      <c r="J44">
        <f t="shared" ref="J44:J57" si="0">ROUND(G44/$C$12*1000,2)</f>
        <v>39.15</v>
      </c>
      <c r="K44" t="s">
        <v>18</v>
      </c>
    </row>
    <row r="45" spans="2:11" x14ac:dyDescent="0.25">
      <c r="B45" t="s">
        <v>19</v>
      </c>
      <c r="C45" s="10" t="s">
        <v>15</v>
      </c>
      <c r="D45" s="10" t="s">
        <v>16</v>
      </c>
      <c r="E45" s="1" t="s">
        <v>11</v>
      </c>
      <c r="G45">
        <f>7*3.27</f>
        <v>22.89</v>
      </c>
      <c r="H45" s="1" t="s">
        <v>31</v>
      </c>
      <c r="J45">
        <f t="shared" si="0"/>
        <v>98.47</v>
      </c>
      <c r="K45" t="s">
        <v>18</v>
      </c>
    </row>
    <row r="46" spans="2:11" x14ac:dyDescent="0.25">
      <c r="B46" t="s">
        <v>19</v>
      </c>
      <c r="C46" s="10" t="s">
        <v>34</v>
      </c>
      <c r="D46" s="10" t="s">
        <v>35</v>
      </c>
      <c r="E46" s="1" t="s">
        <v>12</v>
      </c>
      <c r="G46">
        <f>7*0.82</f>
        <v>5.7399999999999993</v>
      </c>
      <c r="H46" s="1" t="s">
        <v>31</v>
      </c>
      <c r="J46">
        <f t="shared" si="0"/>
        <v>24.69</v>
      </c>
      <c r="K46" t="s">
        <v>18</v>
      </c>
    </row>
    <row r="47" spans="2:11" x14ac:dyDescent="0.25">
      <c r="B47" t="s">
        <v>19</v>
      </c>
      <c r="C47" s="10" t="s">
        <v>39</v>
      </c>
      <c r="D47" s="10" t="s">
        <v>40</v>
      </c>
      <c r="E47" s="1" t="s">
        <v>11</v>
      </c>
      <c r="G47">
        <v>76.05</v>
      </c>
      <c r="H47" s="1" t="s">
        <v>31</v>
      </c>
      <c r="J47">
        <f t="shared" si="0"/>
        <v>327.17</v>
      </c>
      <c r="K47" t="s">
        <v>18</v>
      </c>
    </row>
    <row r="48" spans="2:11" x14ac:dyDescent="0.25">
      <c r="B48" t="s">
        <v>19</v>
      </c>
      <c r="C48" s="10" t="s">
        <v>42</v>
      </c>
      <c r="D48" s="10" t="s">
        <v>43</v>
      </c>
      <c r="E48" s="1" t="s">
        <v>11</v>
      </c>
      <c r="G48">
        <v>76.05</v>
      </c>
      <c r="H48" s="1" t="s">
        <v>31</v>
      </c>
      <c r="J48">
        <f t="shared" si="0"/>
        <v>327.17</v>
      </c>
      <c r="K48" t="s">
        <v>18</v>
      </c>
    </row>
    <row r="49" spans="2:11" x14ac:dyDescent="0.25">
      <c r="B49" t="s">
        <v>19</v>
      </c>
      <c r="C49" s="10" t="s">
        <v>44</v>
      </c>
      <c r="D49" s="10" t="s">
        <v>45</v>
      </c>
      <c r="E49" s="1" t="s">
        <v>11</v>
      </c>
      <c r="G49">
        <v>152.11000000000001</v>
      </c>
      <c r="H49" s="1" t="s">
        <v>31</v>
      </c>
      <c r="J49">
        <f t="shared" si="0"/>
        <v>654.38</v>
      </c>
      <c r="K49" t="s">
        <v>18</v>
      </c>
    </row>
    <row r="50" spans="2:11" x14ac:dyDescent="0.25">
      <c r="B50" t="s">
        <v>19</v>
      </c>
      <c r="C50" s="10" t="s">
        <v>13</v>
      </c>
      <c r="D50" s="10" t="s">
        <v>14</v>
      </c>
      <c r="E50" s="1" t="s">
        <v>11</v>
      </c>
      <c r="G50">
        <f>G26+G29+G32</f>
        <v>48.377000000000002</v>
      </c>
      <c r="H50" s="1" t="s">
        <v>31</v>
      </c>
      <c r="J50">
        <f t="shared" si="0"/>
        <v>208.12</v>
      </c>
      <c r="K50" t="s">
        <v>18</v>
      </c>
    </row>
    <row r="51" spans="2:11" x14ac:dyDescent="0.25">
      <c r="B51" t="s">
        <v>19</v>
      </c>
      <c r="C51" s="10" t="s">
        <v>48</v>
      </c>
      <c r="D51" s="10" t="s">
        <v>49</v>
      </c>
      <c r="E51" s="1" t="s">
        <v>11</v>
      </c>
      <c r="G51">
        <f>G27+G30</f>
        <v>48.35</v>
      </c>
      <c r="H51" s="1" t="s">
        <v>31</v>
      </c>
      <c r="J51">
        <f t="shared" si="0"/>
        <v>208</v>
      </c>
      <c r="K51" t="s">
        <v>18</v>
      </c>
    </row>
    <row r="52" spans="2:11" x14ac:dyDescent="0.25">
      <c r="B52" t="s">
        <v>19</v>
      </c>
      <c r="C52" s="10" t="s">
        <v>54</v>
      </c>
      <c r="D52" s="10" t="s">
        <v>55</v>
      </c>
      <c r="E52" s="1" t="s">
        <v>11</v>
      </c>
      <c r="G52">
        <v>1.66</v>
      </c>
      <c r="J52">
        <f t="shared" si="0"/>
        <v>7.14</v>
      </c>
      <c r="K52" t="s">
        <v>18</v>
      </c>
    </row>
    <row r="53" spans="2:11" ht="30" x14ac:dyDescent="0.25">
      <c r="B53" t="s">
        <v>19</v>
      </c>
      <c r="C53" s="10" t="s">
        <v>56</v>
      </c>
      <c r="D53" s="10" t="s">
        <v>57</v>
      </c>
      <c r="E53" s="1" t="s">
        <v>11</v>
      </c>
      <c r="G53">
        <v>5.0000000000000001E-3</v>
      </c>
      <c r="H53" s="1" t="s">
        <v>31</v>
      </c>
      <c r="J53">
        <f t="shared" si="0"/>
        <v>0.02</v>
      </c>
      <c r="K53" t="s">
        <v>18</v>
      </c>
    </row>
    <row r="54" spans="2:11" ht="30" x14ac:dyDescent="0.25">
      <c r="B54" t="s">
        <v>19</v>
      </c>
      <c r="C54" s="10" t="s">
        <v>58</v>
      </c>
      <c r="D54" s="10" t="s">
        <v>59</v>
      </c>
      <c r="E54" s="1" t="s">
        <v>11</v>
      </c>
      <c r="G54">
        <v>3.5999999999999997E-2</v>
      </c>
      <c r="H54" s="1" t="s">
        <v>31</v>
      </c>
      <c r="J54">
        <f t="shared" si="0"/>
        <v>0.15</v>
      </c>
      <c r="K54" t="s">
        <v>18</v>
      </c>
    </row>
    <row r="55" spans="2:11" x14ac:dyDescent="0.25">
      <c r="B55" t="s">
        <v>19</v>
      </c>
      <c r="C55" s="10" t="s">
        <v>60</v>
      </c>
      <c r="D55" s="10" t="s">
        <v>61</v>
      </c>
      <c r="E55" s="1" t="s">
        <v>11</v>
      </c>
      <c r="G55">
        <v>1.27</v>
      </c>
      <c r="H55" s="1" t="s">
        <v>31</v>
      </c>
      <c r="J55">
        <f t="shared" si="0"/>
        <v>5.46</v>
      </c>
      <c r="K55" t="s">
        <v>18</v>
      </c>
    </row>
    <row r="56" spans="2:11" x14ac:dyDescent="0.25">
      <c r="B56" t="s">
        <v>19</v>
      </c>
      <c r="C56" s="10" t="s">
        <v>62</v>
      </c>
      <c r="D56" s="10" t="s">
        <v>63</v>
      </c>
      <c r="E56" s="1" t="s">
        <v>11</v>
      </c>
      <c r="G56">
        <v>8.9999999999999993E-3</v>
      </c>
      <c r="H56" s="1" t="s">
        <v>31</v>
      </c>
      <c r="J56">
        <f t="shared" si="0"/>
        <v>0.04</v>
      </c>
      <c r="K56" t="s">
        <v>18</v>
      </c>
    </row>
    <row r="57" spans="2:11" x14ac:dyDescent="0.25">
      <c r="C57" s="1" t="s">
        <v>64</v>
      </c>
      <c r="D57" s="1" t="s">
        <v>65</v>
      </c>
      <c r="E57" s="1" t="s">
        <v>66</v>
      </c>
      <c r="G57" s="12">
        <v>2.7000000000000001E-7</v>
      </c>
      <c r="H57" s="1" t="s">
        <v>31</v>
      </c>
      <c r="J57" s="11">
        <f>G57/$C$12*1000</f>
        <v>1.1615401161540116E-6</v>
      </c>
      <c r="K57" t="s">
        <v>18</v>
      </c>
    </row>
    <row r="58" spans="2:11" x14ac:dyDescent="0.25">
      <c r="C58" s="1"/>
      <c r="D58" s="1"/>
    </row>
  </sheetData>
  <mergeCells count="5">
    <mergeCell ref="B41:I41"/>
    <mergeCell ref="C2:I3"/>
    <mergeCell ref="B2:B3"/>
    <mergeCell ref="B14:I14"/>
    <mergeCell ref="K2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Florent LUTZ</dc:creator>
  <cp:lastModifiedBy>Florent LUTZ</cp:lastModifiedBy>
  <dcterms:created xsi:type="dcterms:W3CDTF">2015-06-05T18:19:34Z</dcterms:created>
  <dcterms:modified xsi:type="dcterms:W3CDTF">2026-08-05T12:48:59Z</dcterms:modified>
</cp:coreProperties>
</file>